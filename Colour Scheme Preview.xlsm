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rcules\Documents\Python Scripts\The Woodchuck\The-Woodchuck-1\"/>
    </mc:Choice>
  </mc:AlternateContent>
  <bookViews>
    <workbookView xWindow="0" yWindow="0" windowWidth="21600" windowHeight="11880" activeTab="2"/>
  </bookViews>
  <sheets>
    <sheet name="Sheet1" sheetId="1" r:id="rId1"/>
    <sheet name="List" sheetId="4" r:id="rId2"/>
    <sheet name="RGB to hex" sheetId="3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E12" i="1"/>
  <c r="E11" i="1"/>
  <c r="E10" i="1"/>
  <c r="E9" i="1"/>
  <c r="E8" i="1"/>
  <c r="D13" i="1"/>
  <c r="D12" i="1"/>
  <c r="D11" i="1"/>
  <c r="D10" i="1"/>
  <c r="D9" i="1"/>
  <c r="G13" i="1"/>
  <c r="B21" i="3"/>
  <c r="B20" i="3"/>
  <c r="F3" i="4"/>
  <c r="G3" i="4"/>
  <c r="F4" i="4"/>
  <c r="G4" i="4"/>
  <c r="F5" i="4"/>
  <c r="G5" i="4"/>
  <c r="F6" i="4"/>
  <c r="G6" i="4"/>
  <c r="G2" i="4"/>
  <c r="F2" i="4"/>
  <c r="H12" i="1"/>
  <c r="G12" i="1"/>
  <c r="B19" i="3"/>
  <c r="B18" i="3"/>
  <c r="H11" i="1"/>
  <c r="G11" i="1"/>
  <c r="B17" i="3"/>
  <c r="H10" i="1"/>
  <c r="B16" i="3"/>
  <c r="H9" i="1"/>
  <c r="G10" i="1"/>
  <c r="G9" i="1"/>
  <c r="B15" i="3"/>
  <c r="B14" i="3"/>
  <c r="B13" i="3"/>
  <c r="H8" i="1"/>
  <c r="G8" i="1"/>
  <c r="D8" i="1"/>
  <c r="B3" i="3"/>
  <c r="B4" i="3"/>
  <c r="B5" i="3"/>
  <c r="B6" i="3"/>
  <c r="B7" i="3"/>
  <c r="B8" i="3"/>
  <c r="B9" i="3"/>
  <c r="B10" i="3"/>
  <c r="B11" i="3"/>
  <c r="B12" i="3"/>
  <c r="B2" i="3"/>
  <c r="F5" i="1"/>
  <c r="O3" i="1"/>
  <c r="Q4" i="1"/>
  <c r="O4" i="1"/>
  <c r="F4" i="1"/>
  <c r="D4" i="1"/>
  <c r="F11" i="1"/>
  <c r="F12" i="1"/>
  <c r="F10" i="1"/>
  <c r="F9" i="1"/>
  <c r="F8" i="1"/>
  <c r="I12" i="1"/>
  <c r="I11" i="1"/>
  <c r="I10" i="1"/>
  <c r="I8" i="1"/>
  <c r="I9" i="1"/>
  <c r="C4" i="3"/>
  <c r="C8" i="3"/>
  <c r="C12" i="3"/>
  <c r="C6" i="3"/>
  <c r="C10" i="3"/>
  <c r="C3" i="3"/>
  <c r="C7" i="3"/>
  <c r="C5" i="3"/>
  <c r="C11" i="3"/>
  <c r="C9" i="3"/>
  <c r="C2" i="3"/>
  <c r="H4" i="1"/>
  <c r="I5" i="1"/>
  <c r="I4" i="1"/>
  <c r="J5" i="1"/>
  <c r="J4" i="1"/>
  <c r="H5" i="1"/>
  <c r="J3" i="1"/>
  <c r="I3" i="1"/>
  <c r="H3" i="1"/>
  <c r="L5" i="1"/>
  <c r="M5" i="1"/>
  <c r="K5" i="1"/>
  <c r="N5" i="1" s="1"/>
  <c r="X4" i="1"/>
  <c r="W4" i="1"/>
  <c r="V4" i="1"/>
  <c r="U4" i="1"/>
  <c r="T4" i="1"/>
  <c r="S4" i="1"/>
  <c r="U3" i="1"/>
  <c r="T3" i="1"/>
  <c r="S3" i="1"/>
  <c r="Y3" i="1"/>
  <c r="Y4" i="1"/>
  <c r="M4" i="1"/>
  <c r="L4" i="1"/>
  <c r="K4" i="1"/>
  <c r="N4" i="1"/>
  <c r="N3" i="1"/>
</calcChain>
</file>

<file path=xl/sharedStrings.xml><?xml version="1.0" encoding="utf-8"?>
<sst xmlns="http://schemas.openxmlformats.org/spreadsheetml/2006/main" count="104" uniqueCount="54">
  <si>
    <t>rgb(22, 125, 173)</t>
  </si>
  <si>
    <t>RGB format</t>
  </si>
  <si>
    <t>Hex format</t>
  </si>
  <si>
    <t>Used for</t>
  </si>
  <si>
    <t>Net income</t>
  </si>
  <si>
    <t>#646464</t>
  </si>
  <si>
    <t>--color-primary</t>
  </si>
  <si>
    <t>Light</t>
  </si>
  <si>
    <t>Dark</t>
  </si>
  <si>
    <t>Final colour</t>
  </si>
  <si>
    <t>TextR</t>
  </si>
  <si>
    <t>TextG</t>
  </si>
  <si>
    <t>TextB</t>
  </si>
  <si>
    <t>BackR</t>
  </si>
  <si>
    <t>BackG</t>
  </si>
  <si>
    <t>BackB</t>
  </si>
  <si>
    <t>Text name</t>
  </si>
  <si>
    <t>Background name</t>
  </si>
  <si>
    <r>
      <t> </t>
    </r>
    <r>
      <rPr>
        <sz val="11"/>
        <color rgb="FF9CDCFE"/>
        <rFont val="Calibri"/>
        <family val="3"/>
        <charset val="1"/>
        <scheme val="minor"/>
      </rPr>
      <t>--color-background</t>
    </r>
  </si>
  <si>
    <t>#fbfbfe</t>
  </si>
  <si>
    <t>#c8c8c8</t>
  </si>
  <si>
    <t>#2a2c2d</t>
  </si>
  <si>
    <t>#fd6f53</t>
  </si>
  <si>
    <r>
      <t>--color-progress-fill-current</t>
    </r>
    <r>
      <rPr>
        <sz val="11"/>
        <color rgb="FFD4D4D4"/>
        <rFont val="Calibri"/>
        <family val="3"/>
        <charset val="1"/>
        <scheme val="minor"/>
      </rPr>
      <t>:</t>
    </r>
  </si>
  <si>
    <t>#ff9800</t>
  </si>
  <si>
    <t>rgb(100,100,100)</t>
  </si>
  <si>
    <t>Text</t>
  </si>
  <si>
    <t>Background</t>
  </si>
  <si>
    <t>Hex</t>
  </si>
  <si>
    <t>RGB</t>
  </si>
  <si>
    <t>rgb(251,251,254)</t>
  </si>
  <si>
    <t> --color-background</t>
  </si>
  <si>
    <t>rgb(200,200,200)</t>
  </si>
  <si>
    <t>Example</t>
  </si>
  <si>
    <t>--Net-income</t>
  </si>
  <si>
    <t>#E0E0E0</t>
  </si>
  <si>
    <r>
      <t> </t>
    </r>
    <r>
      <rPr>
        <sz val="11"/>
        <color rgb="FF9CDCFE"/>
        <rFont val="Calibri"/>
        <family val="3"/>
        <charset val="1"/>
        <scheme val="minor"/>
      </rPr>
      <t>--button-color</t>
    </r>
  </si>
  <si>
    <t>rgb(224,224,224)</t>
  </si>
  <si>
    <r>
      <t>  </t>
    </r>
    <r>
      <rPr>
        <sz val="11"/>
        <color rgb="FF9CDCFE"/>
        <rFont val="Calibri"/>
        <family val="3"/>
        <charset val="1"/>
        <scheme val="minor"/>
      </rPr>
      <t>--button-background</t>
    </r>
  </si>
  <si>
    <t>#455A64</t>
  </si>
  <si>
    <t>rgb(69,90,100)</t>
  </si>
  <si>
    <t> --button-color</t>
  </si>
  <si>
    <t>  --button-background</t>
  </si>
  <si>
    <r>
      <t>rgb</t>
    </r>
    <r>
      <rPr>
        <sz val="11"/>
        <color rgb="FFD4D4D4"/>
        <rFont val="Calibri"/>
        <family val="3"/>
        <charset val="1"/>
        <scheme val="minor"/>
      </rPr>
      <t>(</t>
    </r>
    <r>
      <rPr>
        <sz val="11"/>
        <color rgb="FFB5CEA8"/>
        <rFont val="Calibri"/>
        <family val="3"/>
        <charset val="1"/>
        <scheme val="minor"/>
      </rPr>
      <t>64</t>
    </r>
    <r>
      <rPr>
        <sz val="11"/>
        <color rgb="FFD4D4D4"/>
        <rFont val="Calibri"/>
        <family val="3"/>
        <charset val="1"/>
        <scheme val="minor"/>
      </rPr>
      <t>, </t>
    </r>
    <r>
      <rPr>
        <sz val="11"/>
        <color rgb="FFB5CEA8"/>
        <rFont val="Calibri"/>
        <family val="3"/>
        <charset val="1"/>
        <scheme val="minor"/>
      </rPr>
      <t>64</t>
    </r>
    <r>
      <rPr>
        <sz val="11"/>
        <color rgb="FFD4D4D4"/>
        <rFont val="Calibri"/>
        <family val="3"/>
        <charset val="1"/>
        <scheme val="minor"/>
      </rPr>
      <t>, </t>
    </r>
    <r>
      <rPr>
        <sz val="11"/>
        <color rgb="FFB5CEA8"/>
        <rFont val="Calibri"/>
        <family val="3"/>
        <charset val="1"/>
        <scheme val="minor"/>
      </rPr>
      <t>64</t>
    </r>
    <r>
      <rPr>
        <sz val="11"/>
        <color rgb="FFD4D4D4"/>
        <rFont val="Calibri"/>
        <family val="3"/>
        <charset val="1"/>
        <scheme val="minor"/>
      </rPr>
      <t>)</t>
    </r>
  </si>
  <si>
    <t>--activeButton-background</t>
  </si>
  <si>
    <t>Active Tab</t>
  </si>
  <si>
    <t>Default button</t>
  </si>
  <si>
    <t>#0c0c0c</t>
  </si>
  <si>
    <t>--button-border</t>
  </si>
  <si>
    <t>rgb(12,12,12)</t>
  </si>
  <si>
    <r>
      <t>.theme-light</t>
    </r>
    <r>
      <rPr>
        <sz val="11"/>
        <color rgb="FFD4D4D4"/>
        <rFont val="Calibri"/>
        <family val="3"/>
        <charset val="1"/>
        <scheme val="minor"/>
      </rPr>
      <t> {</t>
    </r>
  </si>
  <si>
    <r>
      <t>.theme-dark</t>
    </r>
    <r>
      <rPr>
        <sz val="11"/>
        <color rgb="FFD4D4D4"/>
        <rFont val="Calibri"/>
        <family val="3"/>
        <charset val="1"/>
        <scheme val="minor"/>
      </rPr>
      <t> {</t>
    </r>
  </si>
  <si>
    <t>--color-progress-fill</t>
  </si>
  <si>
    <t>rgb(253,111,83)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</si>
</sst>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rgb="FFCE9178"/>
      <name val="Calibri"/>
      <family val="3"/>
      <charset val="1"/>
      <scheme val="minor"/>
    </font>
    <font>
      <sz val="11"/>
      <color rgb="FF9CDCFE"/>
      <name val="Calibri"/>
      <family val="3"/>
      <charset val="1"/>
      <scheme val="minor"/>
    </font>
    <font>
      <sz val="11"/>
      <color rgb="FFFFFFFF"/>
      <name val="Calibri"/>
      <family val="2"/>
      <scheme val="minor"/>
    </font>
    <font>
      <sz val="11"/>
      <color rgb="FF167DAD"/>
      <name val="Calibri"/>
      <family val="2"/>
      <scheme val="minor"/>
    </font>
    <font>
      <sz val="11"/>
      <color rgb="FF646464"/>
      <name val="Calibri"/>
      <family val="2"/>
      <scheme val="minor"/>
    </font>
    <font>
      <sz val="11"/>
      <color rgb="FFD4D4D4"/>
      <name val="Calibri"/>
      <family val="3"/>
      <charset val="1"/>
      <scheme val="minor"/>
    </font>
    <font>
      <sz val="11"/>
      <color rgb="FFC8C8C8"/>
      <name val="Calibri"/>
      <family val="2"/>
      <scheme val="minor"/>
    </font>
    <font>
      <sz val="11"/>
      <color rgb="FFE0E0E0"/>
      <name val="Calibri"/>
      <family val="2"/>
      <scheme val="minor"/>
    </font>
    <font>
      <sz val="11"/>
      <color rgb="FFB5CEA8"/>
      <name val="Calibri"/>
      <family val="3"/>
      <charset val="1"/>
      <scheme val="minor"/>
    </font>
    <font>
      <sz val="11"/>
      <color rgb="FFDCDCAA"/>
      <name val="Calibri"/>
      <family val="3"/>
      <charset val="1"/>
      <scheme val="minor"/>
    </font>
    <font>
      <sz val="11"/>
      <color rgb="FF0C0C0C"/>
      <name val="Calibri"/>
      <family val="2"/>
      <scheme val="minor"/>
    </font>
    <font>
      <sz val="11"/>
      <color rgb="FFD7BA7D"/>
      <name val="Calibri"/>
      <family val="3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BFBFE"/>
        <bgColor indexed="64"/>
      </patternFill>
    </fill>
    <fill>
      <patternFill patternType="solid">
        <fgColor rgb="FF2A2C2D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55A6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0E0E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wrapText="1"/>
    </xf>
    <xf numFmtId="0" fontId="2" fillId="0" borderId="0" xfId="0" quotePrefix="1" applyFont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2" borderId="0" xfId="0" applyFont="1" applyFill="1"/>
    <xf numFmtId="0" fontId="6" fillId="0" borderId="0" xfId="0" applyFont="1" applyAlignment="1">
      <alignment wrapText="1"/>
    </xf>
    <xf numFmtId="0" fontId="5" fillId="3" borderId="0" xfId="0" applyFont="1" applyFill="1"/>
    <xf numFmtId="0" fontId="7" fillId="4" borderId="0" xfId="0" applyFont="1" applyFill="1"/>
    <xf numFmtId="0" fontId="3" fillId="5" borderId="0" xfId="0" applyFont="1" applyFill="1"/>
    <xf numFmtId="0" fontId="0" fillId="0" borderId="0" xfId="0" quotePrefix="1"/>
    <xf numFmtId="0" fontId="4" fillId="6" borderId="0" xfId="0" applyFont="1" applyFill="1"/>
    <xf numFmtId="0" fontId="8" fillId="3" borderId="0" xfId="0" applyFont="1" applyFill="1"/>
    <xf numFmtId="0" fontId="7" fillId="6" borderId="0" xfId="0" applyFont="1" applyFill="1"/>
    <xf numFmtId="0" fontId="8" fillId="7" borderId="0" xfId="0" applyFont="1" applyFill="1"/>
    <xf numFmtId="0" fontId="10" fillId="0" borderId="0" xfId="0" applyFont="1" applyAlignment="1">
      <alignment wrapText="1"/>
    </xf>
    <xf numFmtId="0" fontId="8" fillId="8" borderId="0" xfId="0" applyFont="1" applyFill="1"/>
    <xf numFmtId="0" fontId="11" fillId="8" borderId="0" xfId="0" applyFont="1" applyFill="1"/>
    <xf numFmtId="0" fontId="12" fillId="0" borderId="0" xfId="0" applyFont="1" applyAlignment="1">
      <alignment wrapText="1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4"/>
  <sheetViews>
    <sheetView workbookViewId="0">
      <selection activeCell="E13" sqref="E13"/>
    </sheetView>
  </sheetViews>
  <sheetFormatPr defaultRowHeight="14.5" x14ac:dyDescent="0.35"/>
  <cols>
    <col min="1" max="1" width="13.54296875" bestFit="1" customWidth="1"/>
    <col min="2" max="2" width="24.26953125" bestFit="1" customWidth="1"/>
    <col min="3" max="3" width="10.26953125" bestFit="1" customWidth="1"/>
    <col min="4" max="4" width="14.7265625" bestFit="1" customWidth="1"/>
    <col min="5" max="5" width="10.1796875" bestFit="1" customWidth="1"/>
    <col min="6" max="7" width="14.81640625" bestFit="1" customWidth="1"/>
    <col min="8" max="8" width="11.7265625" bestFit="1" customWidth="1"/>
    <col min="9" max="9" width="13" bestFit="1" customWidth="1"/>
    <col min="10" max="10" width="10.26953125" customWidth="1"/>
    <col min="11" max="11" width="11.1796875" customWidth="1"/>
    <col min="14" max="14" width="13" bestFit="1" customWidth="1"/>
    <col min="25" max="25" width="13" bestFit="1" customWidth="1"/>
  </cols>
  <sheetData>
    <row r="1" spans="1:25" x14ac:dyDescent="0.35">
      <c r="D1" s="4" t="s">
        <v>7</v>
      </c>
      <c r="E1" s="4"/>
      <c r="F1" s="3"/>
      <c r="G1" s="3"/>
      <c r="O1" s="4" t="s">
        <v>8</v>
      </c>
      <c r="P1" s="4"/>
      <c r="Q1" s="3"/>
      <c r="R1" s="3"/>
    </row>
    <row r="2" spans="1:25" x14ac:dyDescent="0.35">
      <c r="A2" t="s">
        <v>16</v>
      </c>
      <c r="B2" t="s">
        <v>17</v>
      </c>
      <c r="C2" t="s">
        <v>3</v>
      </c>
      <c r="D2" t="s">
        <v>1</v>
      </c>
      <c r="E2" t="s">
        <v>2</v>
      </c>
      <c r="F2" t="s">
        <v>1</v>
      </c>
      <c r="G2" t="s">
        <v>2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9</v>
      </c>
      <c r="O2" t="s">
        <v>1</v>
      </c>
      <c r="P2" t="s">
        <v>2</v>
      </c>
      <c r="S2" t="s">
        <v>10</v>
      </c>
      <c r="T2" t="s">
        <v>11</v>
      </c>
      <c r="U2" t="s">
        <v>12</v>
      </c>
      <c r="V2" t="s">
        <v>13</v>
      </c>
      <c r="W2" t="s">
        <v>14</v>
      </c>
      <c r="X2" t="s">
        <v>15</v>
      </c>
      <c r="Y2" t="s">
        <v>9</v>
      </c>
    </row>
    <row r="3" spans="1:25" x14ac:dyDescent="0.35">
      <c r="C3" t="s">
        <v>4</v>
      </c>
      <c r="D3" s="1" t="s">
        <v>0</v>
      </c>
      <c r="H3" t="str">
        <f>IFERROR(STR_SPLIT(SUBSTITUTE(SUBSTITUTE($D3,"rgb(",""),")",""),",",1),255)</f>
        <v>22</v>
      </c>
      <c r="I3" t="str">
        <f>IFERROR(STR_SPLIT(SUBSTITUTE(SUBSTITUTE($D3,"rgb(",""),")",""),",",2),255)</f>
        <v>125</v>
      </c>
      <c r="J3" t="str">
        <f>IFERROR(STR_SPLIT(SUBSTITUTE(SUBSTITUTE($D3,"rgb(",""),")",""),",",3),255)</f>
        <v>173</v>
      </c>
      <c r="N3" s="5" t="str">
        <f>myrgb(H3,I3,J3,K3,L3,M3)</f>
        <v>Text goes here</v>
      </c>
      <c r="O3" t="str">
        <f>D3</f>
        <v>rgb(22, 125, 173)</v>
      </c>
      <c r="S3" t="str">
        <f>STR_SPLIT(SUBSTITUTE(SUBSTITUTE($O3,"rgb(",""),")",""),",",1)</f>
        <v>22</v>
      </c>
      <c r="T3" t="str">
        <f>STR_SPLIT(SUBSTITUTE(SUBSTITUTE($O3,"rgb(",""),")",""),",",2)</f>
        <v>125</v>
      </c>
      <c r="U3" t="str">
        <f>STR_SPLIT(SUBSTITUTE(SUBSTITUTE($O3,"rgb(",""),")",""),",",3)</f>
        <v>173</v>
      </c>
      <c r="Y3" s="5" t="str">
        <f>myrgb(S3,T3,U3,V3,W3,X3)</f>
        <v>Text goes here</v>
      </c>
    </row>
    <row r="4" spans="1:25" x14ac:dyDescent="0.35">
      <c r="A4" t="s">
        <v>6</v>
      </c>
      <c r="B4" t="s">
        <v>18</v>
      </c>
      <c r="D4" t="str">
        <f>"rgb("&amp;HEX2DEC(MID(E4,2,2))&amp;","&amp;HEX2DEC(MID(E4,4,2))&amp;","&amp;HEX2DEC(MID(E4,6,2))&amp;")"</f>
        <v>rgb(100,100,100)</v>
      </c>
      <c r="E4" s="1" t="s">
        <v>5</v>
      </c>
      <c r="F4" t="str">
        <f>"rgb("&amp;HEX2DEC(MID(G4,2,2))&amp;","&amp;HEX2DEC(MID(G4,4,2))&amp;","&amp;HEX2DEC(MID(G4,6,2))&amp;")"</f>
        <v>rgb(251,251,254)</v>
      </c>
      <c r="G4" s="1" t="s">
        <v>19</v>
      </c>
      <c r="H4" t="str">
        <f t="shared" ref="H4:H5" si="0">IFERROR(STR_SPLIT(SUBSTITUTE(SUBSTITUTE($D4,"rgb(",""),")",""),",",1),255)</f>
        <v>100</v>
      </c>
      <c r="I4" t="str">
        <f t="shared" ref="I4:I5" si="1">IFERROR(STR_SPLIT(SUBSTITUTE(SUBSTITUTE($D4,"rgb(",""),")",""),",",2),255)</f>
        <v>100</v>
      </c>
      <c r="J4" t="str">
        <f t="shared" ref="J4:J5" si="2">IFERROR(STR_SPLIT(SUBSTITUTE(SUBSTITUTE($D4,"rgb(",""),")",""),",",3),255)</f>
        <v>100</v>
      </c>
      <c r="K4" t="str">
        <f>STR_SPLIT(SUBSTITUTE(SUBSTITUTE($F4,"rgb(",""),")",""),",",1)</f>
        <v>251</v>
      </c>
      <c r="L4" t="str">
        <f>STR_SPLIT(SUBSTITUTE(SUBSTITUTE($F4,"rgb(",""),")",""),",",2)</f>
        <v>251</v>
      </c>
      <c r="M4" t="str">
        <f>STR_SPLIT(SUBSTITUTE(SUBSTITUTE($F4,"rgb(",""),")",""),",",3)</f>
        <v>254</v>
      </c>
      <c r="N4" s="7" t="str">
        <f>myrgb(H4,I4,J4,K4,L4,M4)</f>
        <v>Text goes here</v>
      </c>
      <c r="O4" t="str">
        <f>"rgb("&amp;HEX2DEC(MID(P4,2,2))&amp;","&amp;HEX2DEC(MID(P4,4,2))&amp;","&amp;HEX2DEC(MID(P4,6,2))&amp;")"</f>
        <v>rgb(200,200,200)</v>
      </c>
      <c r="P4" s="1" t="s">
        <v>20</v>
      </c>
      <c r="Q4" t="str">
        <f>"rgb("&amp;HEX2DEC(MID(R4,2,2))&amp;","&amp;HEX2DEC(MID(R4,4,2))&amp;","&amp;HEX2DEC(MID(R4,6,2))&amp;")"</f>
        <v>rgb(42,44,45)</v>
      </c>
      <c r="R4" s="1" t="s">
        <v>21</v>
      </c>
      <c r="S4" t="str">
        <f>STR_SPLIT(SUBSTITUTE(SUBSTITUTE($O4,"rgb(",""),")",""),",",1)</f>
        <v>200</v>
      </c>
      <c r="T4" t="str">
        <f>STR_SPLIT(SUBSTITUTE(SUBSTITUTE($O4,"rgb(",""),")",""),",",2)</f>
        <v>200</v>
      </c>
      <c r="U4" t="str">
        <f>STR_SPLIT(SUBSTITUTE(SUBSTITUTE($O4,"rgb(",""),")",""),",",3)</f>
        <v>200</v>
      </c>
      <c r="V4" t="str">
        <f>STR_SPLIT(SUBSTITUTE(SUBSTITUTE($Q4,"rgb(",""),")",""),",",1)</f>
        <v>42</v>
      </c>
      <c r="W4" t="str">
        <f>STR_SPLIT(SUBSTITUTE(SUBSTITUTE($Q4,"rgb(",""),")",""),",",2)</f>
        <v>44</v>
      </c>
      <c r="X4" t="str">
        <f>STR_SPLIT(SUBSTITUTE(SUBSTITUTE($Q4,"rgb(",""),")",""),",",3)</f>
        <v>45</v>
      </c>
      <c r="Y4" s="8" t="str">
        <f>myrgb(S4,T4,U4,V4,W4,X4)</f>
        <v>Text goes here</v>
      </c>
    </row>
    <row r="5" spans="1:25" x14ac:dyDescent="0.35">
      <c r="B5" s="2" t="s">
        <v>23</v>
      </c>
      <c r="E5" s="1"/>
      <c r="F5" t="str">
        <f>"rgb("&amp;HEX2DEC(MID(G5,2,2))&amp;","&amp;HEX2DEC(MID(G5,4,2))&amp;","&amp;HEX2DEC(MID(G5,6,2))&amp;")"</f>
        <v>rgb(255,152,0)</v>
      </c>
      <c r="G5" s="1" t="s">
        <v>24</v>
      </c>
      <c r="H5">
        <f t="shared" si="0"/>
        <v>255</v>
      </c>
      <c r="I5">
        <f t="shared" si="1"/>
        <v>255</v>
      </c>
      <c r="J5">
        <f t="shared" si="2"/>
        <v>255</v>
      </c>
      <c r="K5" t="str">
        <f>STR_SPLIT(SUBSTITUTE(SUBSTITUTE($F5,"rgb(",""),")",""),",",1)</f>
        <v>255</v>
      </c>
      <c r="L5" t="str">
        <f>STR_SPLIT(SUBSTITUTE(SUBSTITUTE($F5,"rgb(",""),")",""),",",2)</f>
        <v>152</v>
      </c>
      <c r="M5" t="str">
        <f>STR_SPLIT(SUBSTITUTE(SUBSTITUTE($F5,"rgb(",""),")",""),",",3)</f>
        <v>0</v>
      </c>
      <c r="N5" s="9" t="str">
        <f>myrgb(H5,I5,J5,K5,L5,M5)</f>
        <v>Text goes here</v>
      </c>
    </row>
    <row r="7" spans="1:25" x14ac:dyDescent="0.35">
      <c r="C7" t="s">
        <v>3</v>
      </c>
      <c r="D7" t="s">
        <v>26</v>
      </c>
      <c r="E7" t="s">
        <v>27</v>
      </c>
      <c r="G7" t="s">
        <v>26</v>
      </c>
      <c r="H7" t="s">
        <v>27</v>
      </c>
      <c r="I7" t="s">
        <v>33</v>
      </c>
    </row>
    <row r="8" spans="1:25" x14ac:dyDescent="0.35">
      <c r="A8" s="10" t="s">
        <v>34</v>
      </c>
      <c r="B8" t="s">
        <v>31</v>
      </c>
      <c r="C8" t="s">
        <v>4</v>
      </c>
      <c r="D8" s="1" t="str">
        <f>INDEX(List!B:B,MATCH(A8,List!$A:$A,0))</f>
        <v>rgb(22, 125, 173)</v>
      </c>
      <c r="E8" t="str">
        <f>INDEX(List!B:B,MATCH(B8,List!$A:$A,0))</f>
        <v>rgb(251,251,254)</v>
      </c>
      <c r="F8" s="5" t="str">
        <f>myRGB2(D8)</f>
        <v>Text goes here</v>
      </c>
      <c r="G8" t="str">
        <f>INDEX(List!C:C,MATCH(A8,List!$A:$A,0))</f>
        <v>rgb(22, 125, 173)</v>
      </c>
      <c r="H8" t="str">
        <f>INDEX(List!C:C,MATCH(B8,List!$A:$A,0))</f>
        <v>rgb(200,200,200)</v>
      </c>
      <c r="I8" s="11" t="str">
        <f>myRGB2(G8,H8)</f>
        <v>Text goes here</v>
      </c>
    </row>
    <row r="9" spans="1:25" x14ac:dyDescent="0.35">
      <c r="A9" t="s">
        <v>6</v>
      </c>
      <c r="B9" t="s">
        <v>31</v>
      </c>
      <c r="D9" s="1" t="str">
        <f>INDEX(List!B:B,MATCH(A9,List!$A:$A,0))</f>
        <v>rgb(100,100,100)</v>
      </c>
      <c r="E9" t="str">
        <f>INDEX(List!B:B,MATCH(B9,List!$A:$A,0))</f>
        <v>rgb(251,251,254)</v>
      </c>
      <c r="F9" s="7" t="str">
        <f>myRGB2(D9,E9)</f>
        <v>Text goes here</v>
      </c>
      <c r="G9" t="str">
        <f>INDEX(List!C:C,MATCH(A9,List!$A:$A,0))</f>
        <v>rgb(200,200,200)</v>
      </c>
      <c r="H9" t="str">
        <f>INDEX(List!C:C,MATCH(B9,List!$A:$A,0))</f>
        <v>rgb(200,200,200)</v>
      </c>
      <c r="I9" s="13" t="str">
        <f>myRGB2(G9,H9)</f>
        <v>Text goes here</v>
      </c>
    </row>
    <row r="10" spans="1:25" ht="29" x14ac:dyDescent="0.35">
      <c r="A10" t="s">
        <v>41</v>
      </c>
      <c r="B10" t="s">
        <v>42</v>
      </c>
      <c r="C10" t="s">
        <v>46</v>
      </c>
      <c r="D10" s="1" t="str">
        <f>INDEX(List!B:B,MATCH(A10,List!$A:$A,0))</f>
        <v>rgb(224,224,224)</v>
      </c>
      <c r="E10" t="str">
        <f>INDEX(List!B:B,MATCH(B10,List!$A:$A,0))</f>
        <v>rgb(69,90,100)</v>
      </c>
      <c r="F10" s="14" t="str">
        <f>myRGB2(D10,E10)</f>
        <v>Text goes here</v>
      </c>
      <c r="G10" t="str">
        <f>INDEX(List!C:C,MATCH(A10,List!$A:$A,0))</f>
        <v>rgb(224,224,224)</v>
      </c>
      <c r="H10" t="str">
        <f>INDEX(List!C:C,MATCH(B10,List!$A:$A,0))</f>
        <v>rgb(69,90,100)</v>
      </c>
      <c r="I10" s="14" t="str">
        <f>myRGB2(G10,H10)</f>
        <v>Text goes here</v>
      </c>
    </row>
    <row r="11" spans="1:25" ht="29" x14ac:dyDescent="0.35">
      <c r="A11" t="s">
        <v>41</v>
      </c>
      <c r="B11" s="10" t="s">
        <v>44</v>
      </c>
      <c r="C11" t="s">
        <v>45</v>
      </c>
      <c r="D11" s="1" t="str">
        <f>INDEX(List!B:B,MATCH(A11,List!$A:$A,0))</f>
        <v>rgb(224,224,224)</v>
      </c>
      <c r="E11">
        <f>INDEX(List!B:B,MATCH(B11,List!$A:$A,0))</f>
        <v>0</v>
      </c>
      <c r="F11" s="19" t="e">
        <f>myRGB2(D11,E11)</f>
        <v>#VALUE!</v>
      </c>
      <c r="G11" t="str">
        <f>INDEX(List!C:C,MATCH(A11,List!$A:$A,0))</f>
        <v>rgb(224,224,224)</v>
      </c>
      <c r="H11" t="str">
        <f>INDEX(List!C:C,MATCH(B11,List!$A:$A,0))</f>
        <v>rgb(64, 64, 64)</v>
      </c>
      <c r="I11" s="16" t="str">
        <f>myRGB2(G11,H11)</f>
        <v>Text goes here</v>
      </c>
    </row>
    <row r="12" spans="1:25" ht="29" x14ac:dyDescent="0.35">
      <c r="A12" t="s">
        <v>48</v>
      </c>
      <c r="B12" s="10" t="s">
        <v>44</v>
      </c>
      <c r="D12" s="1">
        <f>INDEX(List!B:B,MATCH(A12,List!$A:$A,0))</f>
        <v>0</v>
      </c>
      <c r="E12">
        <f>INDEX(List!B:B,MATCH(B12,List!$A:$A,0))</f>
        <v>0</v>
      </c>
      <c r="F12" s="12" t="e">
        <f>myRGB2(D12,E12)</f>
        <v>#VALUE!</v>
      </c>
      <c r="G12" t="str">
        <f>INDEX(List!C:C,MATCH(A12,List!$A:$A,0))</f>
        <v>rgb(12,12,12)</v>
      </c>
      <c r="H12" t="str">
        <f>INDEX(List!C:C,MATCH(B12,List!$A:$A,0))</f>
        <v>rgb(64, 64, 64)</v>
      </c>
      <c r="I12" s="17" t="str">
        <f>myRGB2(G12,H12)</f>
        <v>Text goes here</v>
      </c>
    </row>
    <row r="13" spans="1:25" x14ac:dyDescent="0.35">
      <c r="B13" s="2" t="s">
        <v>52</v>
      </c>
      <c r="D13" s="1" t="e">
        <f>INDEX(List!B:B,MATCH(A13,List!$A:$A,0))</f>
        <v>#N/A</v>
      </c>
      <c r="E13" t="str">
        <f>INDEX(List!B:B,MATCH(B13,List!$A:$A,0))</f>
        <v>rgb(253,111,83)</v>
      </c>
      <c r="G13" t="e">
        <f>INDEX(List!C:C,MATCH(A13,List!$A:$A,0))</f>
        <v>#N/A</v>
      </c>
    </row>
    <row r="14" spans="1:25" x14ac:dyDescent="0.35">
      <c r="D14" s="1"/>
    </row>
  </sheetData>
  <mergeCells count="2">
    <mergeCell ref="D1:E1"/>
    <mergeCell ref="O1:P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"/>
  <sheetViews>
    <sheetView workbookViewId="0">
      <selection activeCell="C7" sqref="C7"/>
    </sheetView>
  </sheetViews>
  <sheetFormatPr defaultRowHeight="14.5" x14ac:dyDescent="0.35"/>
  <cols>
    <col min="1" max="1" width="29.08984375" bestFit="1" customWidth="1"/>
    <col min="2" max="3" width="14.81640625" bestFit="1" customWidth="1"/>
    <col min="6" max="7" width="32.6328125" bestFit="1" customWidth="1"/>
  </cols>
  <sheetData>
    <row r="1" spans="1:7" x14ac:dyDescent="0.35">
      <c r="B1" t="s">
        <v>7</v>
      </c>
      <c r="C1" t="s">
        <v>8</v>
      </c>
      <c r="F1" s="18" t="s">
        <v>50</v>
      </c>
      <c r="G1" s="18" t="s">
        <v>51</v>
      </c>
    </row>
    <row r="2" spans="1:7" ht="29" x14ac:dyDescent="0.35">
      <c r="A2" t="s">
        <v>6</v>
      </c>
      <c r="B2" s="1" t="s">
        <v>25</v>
      </c>
      <c r="C2" t="s">
        <v>32</v>
      </c>
      <c r="F2" t="str">
        <f>A2&amp;":"&amp;B2&amp;";"</f>
        <v>--color-primary:rgb(100,100,100);</v>
      </c>
      <c r="G2" t="str">
        <f>A2&amp;":"&amp;C2&amp;";"</f>
        <v>--color-primary:rgb(200,200,200);</v>
      </c>
    </row>
    <row r="3" spans="1:7" x14ac:dyDescent="0.35">
      <c r="A3" s="10" t="s">
        <v>34</v>
      </c>
      <c r="B3" t="s">
        <v>0</v>
      </c>
      <c r="C3" t="s">
        <v>0</v>
      </c>
      <c r="F3" t="str">
        <f t="shared" ref="F3:F6" si="0">A3&amp;":"&amp;B3&amp;";"</f>
        <v>--Net-income:rgb(22, 125, 173);</v>
      </c>
      <c r="G3" t="str">
        <f t="shared" ref="G3:G6" si="1">A3&amp;":"&amp;C3&amp;";"</f>
        <v>--Net-income:rgb(22, 125, 173);</v>
      </c>
    </row>
    <row r="4" spans="1:7" x14ac:dyDescent="0.35">
      <c r="A4" t="s">
        <v>31</v>
      </c>
      <c r="B4" t="s">
        <v>30</v>
      </c>
      <c r="C4" t="s">
        <v>32</v>
      </c>
      <c r="F4" t="str">
        <f t="shared" si="0"/>
        <v> --color-background:rgb(251,251,254);</v>
      </c>
      <c r="G4" t="str">
        <f t="shared" si="1"/>
        <v> --color-background:rgb(200,200,200);</v>
      </c>
    </row>
    <row r="5" spans="1:7" x14ac:dyDescent="0.35">
      <c r="A5" s="6" t="s">
        <v>36</v>
      </c>
      <c r="B5" t="s">
        <v>37</v>
      </c>
      <c r="C5" t="s">
        <v>37</v>
      </c>
      <c r="F5" t="str">
        <f t="shared" si="0"/>
        <v> --button-color:rgb(224,224,224);</v>
      </c>
      <c r="G5" t="str">
        <f t="shared" si="1"/>
        <v> --button-color:rgb(224,224,224);</v>
      </c>
    </row>
    <row r="6" spans="1:7" x14ac:dyDescent="0.35">
      <c r="A6" s="6" t="s">
        <v>38</v>
      </c>
      <c r="B6" t="s">
        <v>40</v>
      </c>
      <c r="C6" t="s">
        <v>40</v>
      </c>
      <c r="F6" t="str">
        <f t="shared" si="0"/>
        <v>  --button-background:rgb(69,90,100);</v>
      </c>
      <c r="G6" t="str">
        <f t="shared" si="1"/>
        <v>  --button-background:rgb(69,90,100);</v>
      </c>
    </row>
    <row r="7" spans="1:7" x14ac:dyDescent="0.35">
      <c r="A7" s="10" t="s">
        <v>44</v>
      </c>
      <c r="C7" s="15" t="s">
        <v>43</v>
      </c>
    </row>
    <row r="8" spans="1:7" x14ac:dyDescent="0.35">
      <c r="A8" s="10" t="s">
        <v>48</v>
      </c>
      <c r="C8" t="s">
        <v>49</v>
      </c>
    </row>
    <row r="9" spans="1:7" x14ac:dyDescent="0.35">
      <c r="A9" s="2" t="s">
        <v>52</v>
      </c>
      <c r="B9" t="s">
        <v>53</v>
      </c>
      <c r="C9" t="s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tabSelected="1" workbookViewId="0">
      <selection activeCell="A21" sqref="A21"/>
    </sheetView>
  </sheetViews>
  <sheetFormatPr defaultRowHeight="14.5" x14ac:dyDescent="0.35"/>
  <cols>
    <col min="2" max="2" width="14.81640625" bestFit="1" customWidth="1"/>
  </cols>
  <sheetData>
    <row r="1" spans="1:3" x14ac:dyDescent="0.35">
      <c r="A1" t="s">
        <v>28</v>
      </c>
      <c r="B1" t="s">
        <v>29</v>
      </c>
      <c r="C1" t="s">
        <v>28</v>
      </c>
    </row>
    <row r="2" spans="1:3" x14ac:dyDescent="0.35">
      <c r="A2" s="1" t="s">
        <v>5</v>
      </c>
      <c r="B2" t="str">
        <f>"rgb("&amp;HEX2DEC(MID(A2,2,2))&amp;","&amp;HEX2DEC(MID(A2,4,2))&amp;","&amp;HEX2DEC(MID(A2,6,2))&amp;")"</f>
        <v>rgb(100,100,100)</v>
      </c>
      <c r="C2" t="str">
        <f>"#"&amp;DEC2HEX(STR_SPLIT(SUBSTITUTE(SUBSTITUTE(B2,"rgb(",""),")",""),",",1))&amp;DEC2HEX(STR_SPLIT(SUBSTITUTE(SUBSTITUTE(B2,"rgb(",""),")",""),",",2))&amp;DEC2HEX(STR_SPLIT(SUBSTITUTE(SUBSTITUTE(B2,"rgb(",""),")",""),",",1))</f>
        <v>#646464</v>
      </c>
    </row>
    <row r="3" spans="1:3" x14ac:dyDescent="0.35">
      <c r="A3" s="1" t="s">
        <v>5</v>
      </c>
      <c r="B3" t="str">
        <f t="shared" ref="B3:B21" si="0">"rgb("&amp;HEX2DEC(MID(A3,2,2))&amp;","&amp;HEX2DEC(MID(A3,4,2))&amp;","&amp;HEX2DEC(MID(A3,6,2))&amp;")"</f>
        <v>rgb(100,100,100)</v>
      </c>
      <c r="C3" t="str">
        <f>"#"&amp;DEC2HEX(STR_SPLIT(SUBSTITUTE(SUBSTITUTE(B3,"rgb(",""),")",""),",",1))&amp;DEC2HEX(STR_SPLIT(SUBSTITUTE(SUBSTITUTE(B3,"rgb(",""),")",""),",",2))&amp;DEC2HEX(STR_SPLIT(SUBSTITUTE(SUBSTITUTE(B3,"rgb(",""),")",""),",",1))</f>
        <v>#646464</v>
      </c>
    </row>
    <row r="4" spans="1:3" x14ac:dyDescent="0.35">
      <c r="A4" s="1" t="s">
        <v>5</v>
      </c>
      <c r="B4" t="str">
        <f t="shared" si="0"/>
        <v>rgb(100,100,100)</v>
      </c>
      <c r="C4" t="str">
        <f>"#"&amp;DEC2HEX(STR_SPLIT(SUBSTITUTE(SUBSTITUTE(B4,"rgb(",""),")",""),",",1))&amp;DEC2HEX(STR_SPLIT(SUBSTITUTE(SUBSTITUTE(B4,"rgb(",""),")",""),",",2))&amp;DEC2HEX(STR_SPLIT(SUBSTITUTE(SUBSTITUTE(B4,"rgb(",""),")",""),",",1))</f>
        <v>#646464</v>
      </c>
    </row>
    <row r="5" spans="1:3" x14ac:dyDescent="0.35">
      <c r="A5" s="1" t="s">
        <v>5</v>
      </c>
      <c r="B5" t="str">
        <f t="shared" si="0"/>
        <v>rgb(100,100,100)</v>
      </c>
      <c r="C5" t="str">
        <f>"#"&amp;DEC2HEX(STR_SPLIT(SUBSTITUTE(SUBSTITUTE(B5,"rgb(",""),")",""),",",1))&amp;DEC2HEX(STR_SPLIT(SUBSTITUTE(SUBSTITUTE(B5,"rgb(",""),")",""),",",2))&amp;DEC2HEX(STR_SPLIT(SUBSTITUTE(SUBSTITUTE(B5,"rgb(",""),")",""),",",1))</f>
        <v>#646464</v>
      </c>
    </row>
    <row r="6" spans="1:3" x14ac:dyDescent="0.35">
      <c r="A6" s="1" t="s">
        <v>5</v>
      </c>
      <c r="B6" t="str">
        <f t="shared" si="0"/>
        <v>rgb(100,100,100)</v>
      </c>
      <c r="C6" t="str">
        <f>"#"&amp;DEC2HEX(STR_SPLIT(SUBSTITUTE(SUBSTITUTE(B6,"rgb(",""),")",""),",",1))&amp;DEC2HEX(STR_SPLIT(SUBSTITUTE(SUBSTITUTE(B6,"rgb(",""),")",""),",",2))&amp;DEC2HEX(STR_SPLIT(SUBSTITUTE(SUBSTITUTE(B6,"rgb(",""),")",""),",",1))</f>
        <v>#646464</v>
      </c>
    </row>
    <row r="7" spans="1:3" x14ac:dyDescent="0.35">
      <c r="A7" s="1" t="s">
        <v>5</v>
      </c>
      <c r="B7" t="str">
        <f t="shared" si="0"/>
        <v>rgb(100,100,100)</v>
      </c>
      <c r="C7" t="str">
        <f>"#"&amp;DEC2HEX(STR_SPLIT(SUBSTITUTE(SUBSTITUTE(B7,"rgb(",""),")",""),",",1))&amp;DEC2HEX(STR_SPLIT(SUBSTITUTE(SUBSTITUTE(B7,"rgb(",""),")",""),",",2))&amp;DEC2HEX(STR_SPLIT(SUBSTITUTE(SUBSTITUTE(B7,"rgb(",""),")",""),",",1))</f>
        <v>#646464</v>
      </c>
    </row>
    <row r="8" spans="1:3" x14ac:dyDescent="0.35">
      <c r="A8" s="1" t="s">
        <v>5</v>
      </c>
      <c r="B8" t="str">
        <f t="shared" si="0"/>
        <v>rgb(100,100,100)</v>
      </c>
      <c r="C8" t="str">
        <f>"#"&amp;DEC2HEX(STR_SPLIT(SUBSTITUTE(SUBSTITUTE(B8,"rgb(",""),")",""),",",1))&amp;DEC2HEX(STR_SPLIT(SUBSTITUTE(SUBSTITUTE(B8,"rgb(",""),")",""),",",2))&amp;DEC2HEX(STR_SPLIT(SUBSTITUTE(SUBSTITUTE(B8,"rgb(",""),")",""),",",1))</f>
        <v>#646464</v>
      </c>
    </row>
    <row r="9" spans="1:3" x14ac:dyDescent="0.35">
      <c r="A9" s="1" t="s">
        <v>5</v>
      </c>
      <c r="B9" t="str">
        <f t="shared" si="0"/>
        <v>rgb(100,100,100)</v>
      </c>
      <c r="C9" t="str">
        <f>"#"&amp;DEC2HEX(STR_SPLIT(SUBSTITUTE(SUBSTITUTE(B9,"rgb(",""),")",""),",",1))&amp;DEC2HEX(STR_SPLIT(SUBSTITUTE(SUBSTITUTE(B9,"rgb(",""),")",""),",",2))&amp;DEC2HEX(STR_SPLIT(SUBSTITUTE(SUBSTITUTE(B9,"rgb(",""),")",""),",",1))</f>
        <v>#646464</v>
      </c>
    </row>
    <row r="10" spans="1:3" x14ac:dyDescent="0.35">
      <c r="A10" s="1" t="s">
        <v>5</v>
      </c>
      <c r="B10" t="str">
        <f t="shared" si="0"/>
        <v>rgb(100,100,100)</v>
      </c>
      <c r="C10" t="str">
        <f>"#"&amp;DEC2HEX(STR_SPLIT(SUBSTITUTE(SUBSTITUTE(B10,"rgb(",""),")",""),",",1))&amp;DEC2HEX(STR_SPLIT(SUBSTITUTE(SUBSTITUTE(B10,"rgb(",""),")",""),",",2))&amp;DEC2HEX(STR_SPLIT(SUBSTITUTE(SUBSTITUTE(B10,"rgb(",""),")",""),",",1))</f>
        <v>#646464</v>
      </c>
    </row>
    <row r="11" spans="1:3" x14ac:dyDescent="0.35">
      <c r="A11" s="1" t="s">
        <v>5</v>
      </c>
      <c r="B11" t="str">
        <f t="shared" si="0"/>
        <v>rgb(100,100,100)</v>
      </c>
      <c r="C11" t="str">
        <f>"#"&amp;DEC2HEX(STR_SPLIT(SUBSTITUTE(SUBSTITUTE(B11,"rgb(",""),")",""),",",1))&amp;DEC2HEX(STR_SPLIT(SUBSTITUTE(SUBSTITUTE(B11,"rgb(",""),")",""),",",2))&amp;DEC2HEX(STR_SPLIT(SUBSTITUTE(SUBSTITUTE(B11,"rgb(",""),")",""),",",1))</f>
        <v>#646464</v>
      </c>
    </row>
    <row r="12" spans="1:3" x14ac:dyDescent="0.35">
      <c r="A12" s="1" t="s">
        <v>5</v>
      </c>
      <c r="B12" t="str">
        <f t="shared" si="0"/>
        <v>rgb(100,100,100)</v>
      </c>
      <c r="C12" t="str">
        <f>"#"&amp;DEC2HEX(STR_SPLIT(SUBSTITUTE(SUBSTITUTE(B12,"rgb(",""),")",""),",",1))&amp;DEC2HEX(STR_SPLIT(SUBSTITUTE(SUBSTITUTE(B12,"rgb(",""),")",""),",",2))&amp;DEC2HEX(STR_SPLIT(SUBSTITUTE(SUBSTITUTE(B12,"rgb(",""),")",""),",",1))</f>
        <v>#646464</v>
      </c>
    </row>
    <row r="13" spans="1:3" x14ac:dyDescent="0.35">
      <c r="A13" s="1" t="s">
        <v>19</v>
      </c>
      <c r="B13" t="str">
        <f t="shared" si="0"/>
        <v>rgb(251,251,254)</v>
      </c>
    </row>
    <row r="14" spans="1:3" x14ac:dyDescent="0.35">
      <c r="A14" t="s">
        <v>35</v>
      </c>
      <c r="B14" t="str">
        <f t="shared" si="0"/>
        <v>rgb(224,224,224)</v>
      </c>
    </row>
    <row r="15" spans="1:3" x14ac:dyDescent="0.35">
      <c r="A15" t="s">
        <v>39</v>
      </c>
      <c r="B15" t="str">
        <f t="shared" si="0"/>
        <v>rgb(69,90,100)</v>
      </c>
    </row>
    <row r="16" spans="1:3" x14ac:dyDescent="0.35">
      <c r="A16" s="1" t="s">
        <v>39</v>
      </c>
      <c r="B16" t="str">
        <f t="shared" si="0"/>
        <v>rgb(69,90,100)</v>
      </c>
    </row>
    <row r="17" spans="1:2" x14ac:dyDescent="0.35">
      <c r="A17" s="1" t="s">
        <v>35</v>
      </c>
      <c r="B17" t="str">
        <f t="shared" si="0"/>
        <v>rgb(224,224,224)</v>
      </c>
    </row>
    <row r="18" spans="1:2" x14ac:dyDescent="0.35">
      <c r="A18" s="1" t="s">
        <v>39</v>
      </c>
      <c r="B18" t="str">
        <f t="shared" si="0"/>
        <v>rgb(69,90,100)</v>
      </c>
    </row>
    <row r="19" spans="1:2" x14ac:dyDescent="0.35">
      <c r="A19" s="1" t="s">
        <v>47</v>
      </c>
      <c r="B19" t="str">
        <f t="shared" si="0"/>
        <v>rgb(12,12,12)</v>
      </c>
    </row>
    <row r="20" spans="1:2" x14ac:dyDescent="0.35">
      <c r="A20" s="1" t="s">
        <v>22</v>
      </c>
      <c r="B20" t="str">
        <f t="shared" si="0"/>
        <v>rgb(253,111,83)</v>
      </c>
    </row>
    <row r="21" spans="1:2" x14ac:dyDescent="0.35">
      <c r="A21" s="1" t="s">
        <v>39</v>
      </c>
      <c r="B21" t="str">
        <f t="shared" si="0"/>
        <v>rgb(69,90,100)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List</vt:lpstr>
      <vt:lpstr>RGB to hex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Hercules</dc:creator>
  <cp:lastModifiedBy>Hercules</cp:lastModifiedBy>
  <dcterms:created xsi:type="dcterms:W3CDTF">2021-01-07T17:32:32Z</dcterms:created>
  <dcterms:modified xsi:type="dcterms:W3CDTF">2021-01-08T10:05:41Z</dcterms:modified>
</cp:coreProperties>
</file>